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Hjem" sheetId="1" state="visible" r:id="rId1"/>
    <sheet xmlns:r="http://schemas.openxmlformats.org/officeDocument/2006/relationships" name="👥 Ansatte" sheetId="2" state="visible" r:id="rId2"/>
    <sheet xmlns:r="http://schemas.openxmlformats.org/officeDocument/2006/relationships" name="🏥 Pasienter" sheetId="3" state="visible" r:id="rId3"/>
    <sheet xmlns:r="http://schemas.openxmlformats.org/officeDocument/2006/relationships" name="📅 Turnus" sheetId="4" state="visible" r:id="rId4"/>
    <sheet xmlns:r="http://schemas.openxmlformats.org/officeDocument/2006/relationships" name="📊 Dashboard" sheetId="5" state="visible" r:id="rId5"/>
    <sheet xmlns:r="http://schemas.openxmlformats.org/officeDocument/2006/relationships" name="⚠ Risiko" sheetId="6" state="visible" r:id="rId6"/>
    <sheet xmlns:r="http://schemas.openxmlformats.org/officeDocument/2006/relationships" name="🚗 Ruter" sheetId="7" state="visible" r:id="rId7"/>
    <sheet xmlns:r="http://schemas.openxmlformats.org/officeDocument/2006/relationships" name="📄 Rapporter" sheetId="8" state="visible" r:id="rId8"/>
    <sheet xmlns:r="http://schemas.openxmlformats.org/officeDocument/2006/relationships" name="🤖 Turnusgenerator" sheetId="9" state="visible" r:id="rId9"/>
    <sheet xmlns:r="http://schemas.openxmlformats.org/officeDocument/2006/relationships" name="❤️ Kontinuitet" sheetId="10" state="visible" r:id="rId10"/>
    <sheet xmlns:r="http://schemas.openxmlformats.org/officeDocument/2006/relationships" name="📚 Kompetanse" sheetId="11" state="visible" r:id="rId11"/>
    <sheet xmlns:r="http://schemas.openxmlformats.org/officeDocument/2006/relationships" name="🏖️ Ferie" sheetId="12" state="visible" r:id="rId12"/>
    <sheet xmlns:r="http://schemas.openxmlformats.org/officeDocument/2006/relationships" name="🤒 Fravær" sheetId="13" state="visible" r:id="rId13"/>
    <sheet xmlns:r="http://schemas.openxmlformats.org/officeDocument/2006/relationships" name="💰 Kostnader" sheetId="14" state="visible" r:id="rId14"/>
    <sheet xmlns:r="http://schemas.openxmlformats.org/officeDocument/2006/relationships" name="📈 Analy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  <col width="24" customWidth="1" min="7" max="7"/>
  </cols>
  <sheetData>
    <row r="1">
      <c r="A1" s="1" t="inlineStr">
        <is>
          <t>HJEMMEPLAN PRO 1.0</t>
        </is>
      </c>
    </row>
    <row r="3">
      <c r="A3" s="2" t="inlineStr">
        <is>
          <t>Bemanning</t>
        </is>
      </c>
      <c r="C3" s="2" t="inlineStr">
        <is>
          <t>Kompetanse</t>
        </is>
      </c>
      <c r="E3" s="2" t="inlineStr">
        <is>
          <t>Belastning</t>
        </is>
      </c>
      <c r="G3" s="2" t="inlineStr">
        <is>
          <t>Avvik</t>
        </is>
      </c>
    </row>
    <row r="4">
      <c r="A4" s="3" t="inlineStr">
        <is>
          <t>98%</t>
        </is>
      </c>
      <c r="C4" s="3" t="inlineStr">
        <is>
          <t>100%</t>
        </is>
      </c>
      <c r="E4" s="3" t="inlineStr">
        <is>
          <t>83%</t>
        </is>
      </c>
      <c r="G4" s="3" t="inlineStr">
        <is>
          <t>2</t>
        </is>
      </c>
    </row>
    <row r="13">
      <c r="A13" s="4" t="inlineStr">
        <is>
          <t>🚗 Ruter</t>
        </is>
      </c>
      <c r="C13" s="4" t="inlineStr">
        <is>
          <t>⚠ Risiko</t>
        </is>
      </c>
      <c r="E13" s="4" t="inlineStr">
        <is>
          <t>📄 Rapporter</t>
        </is>
      </c>
      <c r="G13" s="4" t="inlineStr">
        <is>
          <t>🤖 Turnusgenerator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👥 Ansatte</t>
        </is>
      </c>
    </row>
    <row r="3">
      <c r="A3" s="5" t="inlineStr">
        <is>
          <t>Navn</t>
        </is>
      </c>
      <c r="B3" s="5" t="inlineStr">
        <is>
          <t>Rolle</t>
        </is>
      </c>
      <c r="C3" s="5" t="inlineStr">
        <is>
          <t>Stilling%</t>
        </is>
      </c>
      <c r="D3" s="5" t="inlineStr">
        <is>
          <t>Sone</t>
        </is>
      </c>
      <c r="E3" s="5" t="inlineStr">
        <is>
          <t>IV</t>
        </is>
      </c>
      <c r="F3" s="5" t="inlineStr">
        <is>
          <t>Pall</t>
        </is>
      </c>
      <c r="G3" s="5" t="inlineStr">
        <is>
          <t>Sår</t>
        </is>
      </c>
      <c r="H3" s="5" t="inlineStr">
        <is>
          <t>Demens</t>
        </is>
      </c>
      <c r="I3" s="5" t="inlineStr">
        <is>
          <t>HLR</t>
        </is>
      </c>
      <c r="J3" s="5" t="inlineStr">
        <is>
          <t>Timer</t>
        </is>
      </c>
      <c r="K3" s="5" t="inlineStr">
        <is>
          <t>Helger</t>
        </is>
      </c>
      <c r="L3" s="5" t="inlineStr">
        <is>
          <t>Ønske</t>
        </is>
      </c>
    </row>
  </sheetData>
  <dataValidations count="1">
    <dataValidation sqref="B4:B500" showDropDown="0" showInputMessage="0" showErrorMessage="0" allowBlank="0" type="list">
      <formula1>"Sykepleier,Helsefagarbeider,Assistent"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🏥 Pasienter</t>
        </is>
      </c>
    </row>
    <row r="3">
      <c r="A3" s="5" t="inlineStr">
        <is>
          <t>Alias</t>
        </is>
      </c>
      <c r="B3" s="5" t="inlineStr">
        <is>
          <t>Sone</t>
        </is>
      </c>
      <c r="C3" s="5" t="inlineStr">
        <is>
          <t>Pleietyngde</t>
        </is>
      </c>
      <c r="D3" s="5" t="inlineStr">
        <is>
          <t>Primærkontakt</t>
        </is>
      </c>
      <c r="E3" s="5" t="inlineStr">
        <is>
          <t>Dobbelbem.</t>
        </is>
      </c>
      <c r="F3" s="5" t="inlineStr">
        <is>
          <t>Kommentar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📅 Turnus</t>
        </is>
      </c>
    </row>
    <row r="3">
      <c r="A3" s="5" t="inlineStr">
        <is>
          <t>Dato</t>
        </is>
      </c>
      <c r="B3" s="5" t="inlineStr">
        <is>
          <t>Dag</t>
        </is>
      </c>
      <c r="C3" s="5" t="inlineStr">
        <is>
          <t>Dag</t>
        </is>
      </c>
      <c r="D3" s="5" t="inlineStr">
        <is>
          <t>Kveld</t>
        </is>
      </c>
      <c r="E3" s="5" t="inlineStr">
        <is>
          <t>Natt</t>
        </is>
      </c>
      <c r="F3" s="5" t="inlineStr">
        <is>
          <t>Ansv SPL</t>
        </is>
      </c>
      <c r="G3" s="5" t="inlineStr">
        <is>
          <t>Belastning</t>
        </is>
      </c>
      <c r="H3" s="5" t="inlineStr">
        <is>
          <t>Status</t>
        </is>
      </c>
      <c r="I3" s="5" t="inlineStr">
        <is>
          <t>Forslag</t>
        </is>
      </c>
    </row>
    <row r="4">
      <c r="G4">
        <f>SUM('🏥 Pasienter'!C4:C103)</f>
        <v/>
      </c>
      <c r="H4">
        <f>IF(AND(F4&lt;&gt;"",G4&lt;=30),"🟢 OK","🔴 SJEKK")</f>
        <v/>
      </c>
      <c r="I4">
        <f>IF(H4="🔴 SJEKK","Kontroller kompetanse/belastning","")</f>
        <v/>
      </c>
    </row>
    <row r="5">
      <c r="G5">
        <f>SUM('🏥 Pasienter'!C4:C103)</f>
        <v/>
      </c>
      <c r="H5">
        <f>IF(AND(F5&lt;&gt;"",G5&lt;=30),"🟢 OK","🔴 SJEKK")</f>
        <v/>
      </c>
      <c r="I5">
        <f>IF(H5="🔴 SJEKK","Kontroller kompetanse/belastning","")</f>
        <v/>
      </c>
    </row>
    <row r="6">
      <c r="G6">
        <f>SUM('🏥 Pasienter'!C4:C103)</f>
        <v/>
      </c>
      <c r="H6">
        <f>IF(AND(F6&lt;&gt;"",G6&lt;=30),"🟢 OK","🔴 SJEKK")</f>
        <v/>
      </c>
      <c r="I6">
        <f>IF(H6="🔴 SJEKK","Kontroller kompetanse/belastning","")</f>
        <v/>
      </c>
    </row>
    <row r="7">
      <c r="G7">
        <f>SUM('🏥 Pasienter'!C4:C103)</f>
        <v/>
      </c>
      <c r="H7">
        <f>IF(AND(F7&lt;&gt;"",G7&lt;=30),"🟢 OK","🔴 SJEKK")</f>
        <v/>
      </c>
      <c r="I7">
        <f>IF(H7="🔴 SJEKK","Kontroller kompetanse/belastning","")</f>
        <v/>
      </c>
    </row>
    <row r="8">
      <c r="G8">
        <f>SUM('🏥 Pasienter'!C4:C103)</f>
        <v/>
      </c>
      <c r="H8">
        <f>IF(AND(F8&lt;&gt;"",G8&lt;=30),"🟢 OK","🔴 SJEKK")</f>
        <v/>
      </c>
      <c r="I8">
        <f>IF(H8="🔴 SJEKK","Kontroller kompetanse/belastning","")</f>
        <v/>
      </c>
    </row>
    <row r="9">
      <c r="G9">
        <f>SUM('🏥 Pasienter'!C4:C103)</f>
        <v/>
      </c>
      <c r="H9">
        <f>IF(AND(F9&lt;&gt;"",G9&lt;=30),"🟢 OK","🔴 SJEKK")</f>
        <v/>
      </c>
      <c r="I9">
        <f>IF(H9="🔴 SJEKK","Kontroller kompetanse/belastning","")</f>
        <v/>
      </c>
    </row>
    <row r="10">
      <c r="G10">
        <f>SUM('🏥 Pasienter'!C4:C103)</f>
        <v/>
      </c>
      <c r="H10">
        <f>IF(AND(F10&lt;&gt;"",G10&lt;=30),"🟢 OK","🔴 SJEKK")</f>
        <v/>
      </c>
      <c r="I10">
        <f>IF(H10="🔴 SJEKK","Kontroller kompetanse/belastning","")</f>
        <v/>
      </c>
    </row>
    <row r="11">
      <c r="G11">
        <f>SUM('🏥 Pasienter'!C4:C103)</f>
        <v/>
      </c>
      <c r="H11">
        <f>IF(AND(F11&lt;&gt;"",G11&lt;=30),"🟢 OK","🔴 SJEKK")</f>
        <v/>
      </c>
      <c r="I11">
        <f>IF(H11="🔴 SJEKK","Kontroller kompetanse/belastning","")</f>
        <v/>
      </c>
    </row>
    <row r="12">
      <c r="G12">
        <f>SUM('🏥 Pasienter'!C4:C103)</f>
        <v/>
      </c>
      <c r="H12">
        <f>IF(AND(F12&lt;&gt;"",G12&lt;=30),"🟢 OK","🔴 SJEKK")</f>
        <v/>
      </c>
      <c r="I12">
        <f>IF(H12="🔴 SJEKK","Kontroller kompetanse/belastning","")</f>
        <v/>
      </c>
    </row>
    <row r="13">
      <c r="G13">
        <f>SUM('🏥 Pasienter'!C4:C103)</f>
        <v/>
      </c>
      <c r="H13">
        <f>IF(AND(F13&lt;&gt;"",G13&lt;=30),"🟢 OK","🔴 SJEKK")</f>
        <v/>
      </c>
      <c r="I13">
        <f>IF(H13="🔴 SJEKK","Kontroller kompetanse/belastning","")</f>
        <v/>
      </c>
    </row>
    <row r="14">
      <c r="G14">
        <f>SUM('🏥 Pasienter'!C4:C103)</f>
        <v/>
      </c>
      <c r="H14">
        <f>IF(AND(F14&lt;&gt;"",G14&lt;=30),"🟢 OK","🔴 SJEKK")</f>
        <v/>
      </c>
      <c r="I14">
        <f>IF(H14="🔴 SJEKK","Kontroller kompetanse/belastning","")</f>
        <v/>
      </c>
    </row>
    <row r="15">
      <c r="G15">
        <f>SUM('🏥 Pasienter'!C4:C103)</f>
        <v/>
      </c>
      <c r="H15">
        <f>IF(AND(F15&lt;&gt;"",G15&lt;=30),"🟢 OK","🔴 SJEKK")</f>
        <v/>
      </c>
      <c r="I15">
        <f>IF(H15="🔴 SJEKK","Kontroller kompetanse/belastning","")</f>
        <v/>
      </c>
    </row>
    <row r="16">
      <c r="G16">
        <f>SUM('🏥 Pasienter'!C4:C103)</f>
        <v/>
      </c>
      <c r="H16">
        <f>IF(AND(F16&lt;&gt;"",G16&lt;=30),"🟢 OK","🔴 SJEKK")</f>
        <v/>
      </c>
      <c r="I16">
        <f>IF(H16="🔴 SJEKK","Kontroller kompetanse/belastning","")</f>
        <v/>
      </c>
    </row>
    <row r="17">
      <c r="G17">
        <f>SUM('🏥 Pasienter'!C4:C103)</f>
        <v/>
      </c>
      <c r="H17">
        <f>IF(AND(F17&lt;&gt;"",G17&lt;=30),"🟢 OK","🔴 SJEKK")</f>
        <v/>
      </c>
      <c r="I17">
        <f>IF(H17="🔴 SJEKK","Kontroller kompetanse/belastning","")</f>
        <v/>
      </c>
    </row>
    <row r="18">
      <c r="G18">
        <f>SUM('🏥 Pasienter'!C4:C103)</f>
        <v/>
      </c>
      <c r="H18">
        <f>IF(AND(F18&lt;&gt;"",G18&lt;=30),"🟢 OK","🔴 SJEKK")</f>
        <v/>
      </c>
      <c r="I18">
        <f>IF(H18="🔴 SJEKK","Kontroller kompetanse/belastning","")</f>
        <v/>
      </c>
    </row>
    <row r="19">
      <c r="G19">
        <f>SUM('🏥 Pasienter'!C4:C103)</f>
        <v/>
      </c>
      <c r="H19">
        <f>IF(AND(F19&lt;&gt;"",G19&lt;=30),"🟢 OK","🔴 SJEKK")</f>
        <v/>
      </c>
      <c r="I19">
        <f>IF(H19="🔴 SJEKK","Kontroller kompetanse/belastning","")</f>
        <v/>
      </c>
    </row>
    <row r="20">
      <c r="G20">
        <f>SUM('🏥 Pasienter'!C4:C103)</f>
        <v/>
      </c>
      <c r="H20">
        <f>IF(AND(F20&lt;&gt;"",G20&lt;=30),"🟢 OK","🔴 SJEKK")</f>
        <v/>
      </c>
      <c r="I20">
        <f>IF(H20="🔴 SJEKK","Kontroller kompetanse/belastning","")</f>
        <v/>
      </c>
    </row>
    <row r="21">
      <c r="G21">
        <f>SUM('🏥 Pasienter'!C4:C103)</f>
        <v/>
      </c>
      <c r="H21">
        <f>IF(AND(F21&lt;&gt;"",G21&lt;=30),"🟢 OK","🔴 SJEKK")</f>
        <v/>
      </c>
      <c r="I21">
        <f>IF(H21="🔴 SJEKK","Kontroller kompetanse/belastning","")</f>
        <v/>
      </c>
    </row>
    <row r="22">
      <c r="G22">
        <f>SUM('🏥 Pasienter'!C4:C103)</f>
        <v/>
      </c>
      <c r="H22">
        <f>IF(AND(F22&lt;&gt;"",G22&lt;=30),"🟢 OK","🔴 SJEKK")</f>
        <v/>
      </c>
      <c r="I22">
        <f>IF(H22="🔴 SJEKK","Kontroller kompetanse/belastning","")</f>
        <v/>
      </c>
    </row>
    <row r="23">
      <c r="G23">
        <f>SUM('🏥 Pasienter'!C4:C103)</f>
        <v/>
      </c>
      <c r="H23">
        <f>IF(AND(F23&lt;&gt;"",G23&lt;=30),"🟢 OK","🔴 SJEKK")</f>
        <v/>
      </c>
      <c r="I23">
        <f>IF(H23="🔴 SJEKK","Kontroller kompetanse/belastning","")</f>
        <v/>
      </c>
    </row>
    <row r="24">
      <c r="G24">
        <f>SUM('🏥 Pasienter'!C4:C103)</f>
        <v/>
      </c>
      <c r="H24">
        <f>IF(AND(F24&lt;&gt;"",G24&lt;=30),"🟢 OK","🔴 SJEKK")</f>
        <v/>
      </c>
      <c r="I24">
        <f>IF(H24="🔴 SJEKK","Kontroller kompetanse/belastning","")</f>
        <v/>
      </c>
    </row>
    <row r="25">
      <c r="G25">
        <f>SUM('🏥 Pasienter'!C4:C103)</f>
        <v/>
      </c>
      <c r="H25">
        <f>IF(AND(F25&lt;&gt;"",G25&lt;=30),"🟢 OK","🔴 SJEKK")</f>
        <v/>
      </c>
      <c r="I25">
        <f>IF(H25="🔴 SJEKK","Kontroller kompetanse/belastning","")</f>
        <v/>
      </c>
    </row>
    <row r="26">
      <c r="G26">
        <f>SUM('🏥 Pasienter'!C4:C103)</f>
        <v/>
      </c>
      <c r="H26">
        <f>IF(AND(F26&lt;&gt;"",G26&lt;=30),"🟢 OK","🔴 SJEKK")</f>
        <v/>
      </c>
      <c r="I26">
        <f>IF(H26="🔴 SJEKK","Kontroller kompetanse/belastning","")</f>
        <v/>
      </c>
    </row>
    <row r="27">
      <c r="G27">
        <f>SUM('🏥 Pasienter'!C4:C103)</f>
        <v/>
      </c>
      <c r="H27">
        <f>IF(AND(F27&lt;&gt;"",G27&lt;=30),"🟢 OK","🔴 SJEKK")</f>
        <v/>
      </c>
      <c r="I27">
        <f>IF(H27="🔴 SJEKK","Kontroller kompetanse/belastning","")</f>
        <v/>
      </c>
    </row>
    <row r="28">
      <c r="G28">
        <f>SUM('🏥 Pasienter'!C4:C103)</f>
        <v/>
      </c>
      <c r="H28">
        <f>IF(AND(F28&lt;&gt;"",G28&lt;=30),"🟢 OK","🔴 SJEKK")</f>
        <v/>
      </c>
      <c r="I28">
        <f>IF(H28="🔴 SJEKK","Kontroller kompetanse/belastning","")</f>
        <v/>
      </c>
    </row>
    <row r="29">
      <c r="G29">
        <f>SUM('🏥 Pasienter'!C4:C103)</f>
        <v/>
      </c>
      <c r="H29">
        <f>IF(AND(F29&lt;&gt;"",G29&lt;=30),"🟢 OK","🔴 SJEKK")</f>
        <v/>
      </c>
      <c r="I29">
        <f>IF(H29="🔴 SJEKK","Kontroller kompetanse/belastning","")</f>
        <v/>
      </c>
    </row>
    <row r="30">
      <c r="G30">
        <f>SUM('🏥 Pasienter'!C4:C103)</f>
        <v/>
      </c>
      <c r="H30">
        <f>IF(AND(F30&lt;&gt;"",G30&lt;=30),"🟢 OK","🔴 SJEKK")</f>
        <v/>
      </c>
      <c r="I30">
        <f>IF(H30="🔴 SJEKK","Kontroller kompetanse/belastning","")</f>
        <v/>
      </c>
    </row>
    <row r="31">
      <c r="G31">
        <f>SUM('🏥 Pasienter'!C4:C103)</f>
        <v/>
      </c>
      <c r="H31">
        <f>IF(AND(F31&lt;&gt;"",G31&lt;=30),"🟢 OK","🔴 SJEKK")</f>
        <v/>
      </c>
      <c r="I31">
        <f>IF(H31="🔴 SJEKK","Kontroller kompetanse/belastning","")</f>
        <v/>
      </c>
    </row>
    <row r="32">
      <c r="G32">
        <f>SUM('🏥 Pasienter'!C4:C103)</f>
        <v/>
      </c>
      <c r="H32">
        <f>IF(AND(F32&lt;&gt;"",G32&lt;=30),"🟢 OK","🔴 SJEKK")</f>
        <v/>
      </c>
      <c r="I32">
        <f>IF(H32="🔴 SJEKK","Kontroller kompetanse/belastning","")</f>
        <v/>
      </c>
    </row>
    <row r="33">
      <c r="G33">
        <f>SUM('🏥 Pasienter'!C4:C103)</f>
        <v/>
      </c>
      <c r="H33">
        <f>IF(AND(F33&lt;&gt;"",G33&lt;=30),"🟢 OK","🔴 SJEKK")</f>
        <v/>
      </c>
      <c r="I33">
        <f>IF(H33="🔴 SJEKK","Kontroller kompetanse/belastning","")</f>
        <v/>
      </c>
    </row>
    <row r="34">
      <c r="G34">
        <f>SUM('🏥 Pasienter'!C4:C103)</f>
        <v/>
      </c>
      <c r="H34">
        <f>IF(AND(F34&lt;&gt;"",G34&lt;=30),"🟢 OK","🔴 SJEKK")</f>
        <v/>
      </c>
      <c r="I34">
        <f>IF(H34="🔴 SJEKK","Kontroller kompetanse/belastning","")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📊 Dashboard</t>
        </is>
      </c>
    </row>
    <row r="3">
      <c r="A3" s="5" t="inlineStr">
        <is>
          <t>KPI</t>
        </is>
      </c>
      <c r="B3" s="5" t="inlineStr">
        <is>
          <t>Verdi</t>
        </is>
      </c>
    </row>
    <row r="4">
      <c r="A4" t="inlineStr">
        <is>
          <t>OK-vakter</t>
        </is>
      </c>
      <c r="B4">
        <f>COUNTIF('📅 Turnus'!H4:H34,"🟢 OK")</f>
        <v/>
      </c>
    </row>
    <row r="5">
      <c r="A5" t="inlineStr">
        <is>
          <t>Konflikter</t>
        </is>
      </c>
      <c r="B5">
        <f>COUNTIF('📅 Turnus'!H4:H34,"🔴 SJEKK")</f>
        <v/>
      </c>
    </row>
    <row r="6">
      <c r="A6" t="inlineStr">
        <is>
          <t>Ansatte</t>
        </is>
      </c>
      <c r="B6">
        <f>COUNTA('👥 Ansatte'!A4:A300)</f>
        <v/>
      </c>
    </row>
    <row r="7">
      <c r="A7" t="inlineStr">
        <is>
          <t>Pasienter</t>
        </is>
      </c>
      <c r="B7">
        <f>COUNTA('🏥 Pasienter'!A4:A300)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⚠ Risiko</t>
        </is>
      </c>
    </row>
    <row r="3">
      <c r="A3" s="5" t="inlineStr">
        <is>
          <t>Kontroll</t>
        </is>
      </c>
      <c r="B3" s="5" t="inlineStr">
        <is>
          <t>Status</t>
        </is>
      </c>
      <c r="C3" s="5" t="inlineStr">
        <is>
          <t>Tiltak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🚗 Ruter</t>
        </is>
      </c>
    </row>
    <row r="3">
      <c r="A3" s="5" t="inlineStr">
        <is>
          <t>Ansatt</t>
        </is>
      </c>
      <c r="B3" s="5" t="inlineStr">
        <is>
          <t>Sone</t>
        </is>
      </c>
      <c r="C3" s="5" t="inlineStr">
        <is>
          <t>Pasienter</t>
        </is>
      </c>
      <c r="D3" s="5" t="inlineStr">
        <is>
          <t>Kjøretid</t>
        </is>
      </c>
      <c r="E3" s="5" t="inlineStr">
        <is>
          <t>Besøkstid</t>
        </is>
      </c>
      <c r="F3" s="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📄 Rapporter</t>
        </is>
      </c>
    </row>
    <row r="3">
      <c r="A3" s="5" t="inlineStr">
        <is>
          <t>Rapport</t>
        </is>
      </c>
      <c r="B3" s="5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🤖 Turnusgenerator</t>
        </is>
      </c>
    </row>
    <row r="3">
      <c r="A3" s="5" t="inlineStr">
        <is>
          <t>Regel</t>
        </is>
      </c>
      <c r="B3" s="5" t="inlineStr">
        <is>
          <t>Verdi</t>
        </is>
      </c>
    </row>
    <row r="4">
      <c r="A4" t="inlineStr">
        <is>
          <t>Min SPL dag</t>
        </is>
      </c>
      <c r="B4" t="n">
        <v>2</v>
      </c>
      <c r="D4" t="inlineStr">
        <is>
          <t>🚀 FREMTIDIG KNAPP</t>
        </is>
      </c>
    </row>
    <row r="5">
      <c r="A5" t="inlineStr">
        <is>
          <t>Min SPL kveld</t>
        </is>
      </c>
      <c r="B5" t="n">
        <v>1</v>
      </c>
      <c r="D5" t="inlineStr">
        <is>
          <t>GENERER TURNUS</t>
        </is>
      </c>
    </row>
    <row r="6">
      <c r="A6" t="inlineStr">
        <is>
          <t>Min SPL natt</t>
        </is>
      </c>
      <c r="B6" t="n">
        <v>1</v>
      </c>
    </row>
    <row r="7">
      <c r="A7" t="inlineStr">
        <is>
          <t>Maks belastning</t>
        </is>
      </c>
      <c r="B7" t="n">
        <v>30</v>
      </c>
    </row>
    <row r="8">
      <c r="A8" t="inlineStr">
        <is>
          <t>Hviletid</t>
        </is>
      </c>
      <c r="B8" t="n">
        <v>11</v>
      </c>
    </row>
    <row r="9">
      <c r="A9" t="inlineStr">
        <is>
          <t>Prioriter kontinuitet</t>
        </is>
      </c>
      <c r="B9" t="inlineStr">
        <is>
          <t>Ja</t>
        </is>
      </c>
    </row>
    <row r="10">
      <c r="A10" t="inlineStr">
        <is>
          <t>Minimer overtid</t>
        </is>
      </c>
      <c r="B10" t="inlineStr">
        <is>
          <t>Ja</t>
        </is>
      </c>
    </row>
    <row r="11">
      <c r="A11" t="inlineStr">
        <is>
          <t>Lik helgebelastning</t>
        </is>
      </c>
      <c r="B11" t="inlineStr">
        <is>
          <t>Ja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❤️ Kontinuitet</t>
        </is>
      </c>
    </row>
    <row r="3">
      <c r="A3" s="5" t="inlineStr">
        <is>
          <t>Pasient</t>
        </is>
      </c>
      <c r="B3" s="5" t="inlineStr">
        <is>
          <t>Primærkontakt</t>
        </is>
      </c>
      <c r="C3" s="5" t="inlineStr">
        <is>
          <t>Bytter</t>
        </is>
      </c>
      <c r="D3" s="5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📚 Kompetanse</t>
        </is>
      </c>
    </row>
    <row r="3">
      <c r="A3" s="5" t="inlineStr">
        <is>
          <t>Kompetanse</t>
        </is>
      </c>
      <c r="B3" s="5" t="inlineStr">
        <is>
          <t>Antall</t>
        </is>
      </c>
      <c r="C3" s="5" t="inlineStr">
        <is>
          <t>Manglende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🏖️ Ferie</t>
        </is>
      </c>
    </row>
    <row r="3">
      <c r="A3" s="5" t="inlineStr">
        <is>
          <t>Ansatt</t>
        </is>
      </c>
      <c r="B3" s="5" t="inlineStr">
        <is>
          <t>Fra</t>
        </is>
      </c>
      <c r="C3" s="5" t="inlineStr">
        <is>
          <t>Til</t>
        </is>
      </c>
      <c r="D3" s="5" t="inlineStr">
        <is>
          <t>Godkjent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🤒 Fravær</t>
        </is>
      </c>
    </row>
    <row r="3">
      <c r="A3" s="5" t="inlineStr">
        <is>
          <t>Ansatt</t>
        </is>
      </c>
      <c r="B3" s="5" t="inlineStr">
        <is>
          <t>Dato</t>
        </is>
      </c>
      <c r="C3" s="5" t="inlineStr">
        <is>
          <t>Årsak</t>
        </is>
      </c>
      <c r="D3" s="5" t="inlineStr">
        <is>
          <t>Erstattet av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💰 Kostnader</t>
        </is>
      </c>
    </row>
    <row r="3">
      <c r="A3" s="5" t="inlineStr">
        <is>
          <t>Måned</t>
        </is>
      </c>
      <c r="B3" s="5" t="inlineStr">
        <is>
          <t>Lønn</t>
        </is>
      </c>
      <c r="C3" s="5" t="inlineStr">
        <is>
          <t>Overtid</t>
        </is>
      </c>
      <c r="D3" s="5" t="inlineStr">
        <is>
          <t>Vikar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📈 Analyse</t>
        </is>
      </c>
    </row>
    <row r="3">
      <c r="A3" s="5" t="inlineStr">
        <is>
          <t>Måling</t>
        </is>
      </c>
      <c r="B3" s="5" t="inlineStr">
        <is>
          <t>Verdi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2026-07-16T22:38:26Z</dcterms:created>
  <dcterms:modified xmlns:dcterms="http://purl.org/dc/terms/" xmlns:xsi="http://www.w3.org/2001/XMLSchema-instance" xsi:type="dcterms:W3CDTF">2026-07-16T22:38:26Z</dcterms:modified>
</cp:coreProperties>
</file>